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44230eff0ef84a/Desktop/"/>
    </mc:Choice>
  </mc:AlternateContent>
  <xr:revisionPtr revIDLastSave="517" documentId="8_{C63623DE-C4D0-4CC4-8E74-3773FCA9F84F}" xr6:coauthVersionLast="47" xr6:coauthVersionMax="47" xr10:uidLastSave="{99C6D9AC-C0D2-4B61-A268-690437F9691A}"/>
  <bookViews>
    <workbookView xWindow="-96" yWindow="-96" windowWidth="23232" windowHeight="13872" xr2:uid="{332ADF8A-1066-489E-9ADD-54F723FD3D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P6" i="1" s="1"/>
  <c r="Q6" i="1" s="1"/>
  <c r="R6" i="1" s="1"/>
  <c r="S6" i="1" s="1"/>
  <c r="T6" i="1" s="1"/>
  <c r="U6" i="1" s="1"/>
  <c r="V6" i="1" s="1"/>
  <c r="O7" i="1"/>
  <c r="P7" i="1" s="1"/>
  <c r="Q7" i="1" s="1"/>
  <c r="R7" i="1" s="1"/>
  <c r="S7" i="1" s="1"/>
  <c r="T7" i="1" s="1"/>
  <c r="U7" i="1" s="1"/>
  <c r="V7" i="1" s="1"/>
  <c r="F24" i="1"/>
  <c r="L19" i="1"/>
  <c r="L24" i="1" s="1"/>
  <c r="L28" i="1" s="1"/>
  <c r="J19" i="1"/>
  <c r="J24" i="1" s="1"/>
  <c r="H19" i="1"/>
  <c r="H24" i="1" s="1"/>
  <c r="H28" i="1" s="1"/>
  <c r="L27" i="1" l="1"/>
  <c r="J28" i="1"/>
  <c r="J27" i="1"/>
  <c r="H27" i="1"/>
</calcChain>
</file>

<file path=xl/sharedStrings.xml><?xml version="1.0" encoding="utf-8"?>
<sst xmlns="http://schemas.openxmlformats.org/spreadsheetml/2006/main" count="67" uniqueCount="44">
  <si>
    <t>Duração</t>
  </si>
  <si>
    <t>Bioimpedância</t>
  </si>
  <si>
    <t>Treino Personalizado</t>
  </si>
  <si>
    <t>Emagrecimento
Energia
Desinflamação</t>
  </si>
  <si>
    <t>Sim</t>
  </si>
  <si>
    <t>90 dias</t>
  </si>
  <si>
    <t>Consulta Nutricionista</t>
  </si>
  <si>
    <t>Gasto Calórico (Calorimetria)</t>
  </si>
  <si>
    <t>Consulta Avulsa</t>
  </si>
  <si>
    <t>-</t>
  </si>
  <si>
    <t>Avaliações Hand Grip</t>
  </si>
  <si>
    <t>180 dias</t>
  </si>
  <si>
    <t>360 dias</t>
  </si>
  <si>
    <t>Atendimento WhatsApp</t>
  </si>
  <si>
    <t>Não</t>
  </si>
  <si>
    <t>Todos Disponíveis
Consulte!</t>
  </si>
  <si>
    <t>Emagrecimento
Energia
Desinflamação
Ansiedade
Unhas e Cabelos</t>
  </si>
  <si>
    <t>Escolher entre:</t>
  </si>
  <si>
    <t>Programa Premium
Todo Dia Um Pouco</t>
  </si>
  <si>
    <t>Programas Instituto Gisele Figueiredo</t>
  </si>
  <si>
    <t>Nenhum</t>
  </si>
  <si>
    <t>Valor Estimado dos Protocolos</t>
  </si>
  <si>
    <t>Consultas com a Dra. Gisele</t>
  </si>
  <si>
    <t>A cada 45 dias</t>
  </si>
  <si>
    <t>Inicial e Final</t>
  </si>
  <si>
    <t>A cada 60 dias</t>
  </si>
  <si>
    <t>Resumo do que vc ganha...</t>
  </si>
  <si>
    <t>Cenário Atual</t>
  </si>
  <si>
    <t>Sugestão</t>
  </si>
  <si>
    <t>Plano Inicial</t>
  </si>
  <si>
    <t>Plano Aceleração</t>
  </si>
  <si>
    <t>Equipe de Acompanhamento</t>
  </si>
  <si>
    <t>Contato direto com Dra. Gisele Figueiredo</t>
  </si>
  <si>
    <t>Preços dos Pacotes</t>
  </si>
  <si>
    <t>45 min</t>
  </si>
  <si>
    <t>1h - 1h 30 min</t>
  </si>
  <si>
    <t>Duração da Consulta 
(não mostrar para os pacientes)</t>
  </si>
  <si>
    <t>Você economiza...</t>
  </si>
  <si>
    <t>Valor das Consultas</t>
  </si>
  <si>
    <t>Protocolos Inclusos*</t>
  </si>
  <si>
    <t>* Protocolos são aplicações injetáveis feitas em nosso consultório com formulação exclusiva para  ganho de massa, emagrecimento, redução stress, ansiedade, energia, dentre outros</t>
  </si>
  <si>
    <t>De</t>
  </si>
  <si>
    <t>Por</t>
  </si>
  <si>
    <t>Valor estimado dos Protocolos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</si>
</sst>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_-;\-[$R$-416]\ * #,##0_-;_-[$R$-416]\ * &quot;-&quot;??_-;_-@_-"/>
    <numFmt numFmtId="166" formatCode="_-&quot;R$&quot;\ * #,##0_-;\-&quot;R$&quot;\ * #,##0_-;_-&quot;R$&quot;\ 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2"/>
      <color theme="0"/>
      <name val="Aptos"/>
      <family val="2"/>
    </font>
    <font>
      <b/>
      <sz val="12"/>
      <color theme="1"/>
      <name val="Aptos"/>
      <family val="2"/>
    </font>
    <font>
      <b/>
      <sz val="11"/>
      <color rgb="FFFF9900"/>
      <name val="Aptos"/>
      <family val="2"/>
    </font>
    <font>
      <sz val="10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b/>
      <sz val="12"/>
      <name val="Aptos"/>
      <family val="2"/>
    </font>
    <font>
      <b/>
      <sz val="11"/>
      <name val="Aptos"/>
      <family val="2"/>
    </font>
    <font>
      <b/>
      <sz val="14"/>
      <name val="Aptos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sz val="11"/>
      <color rgb="FFFF0000"/>
      <name val="Aptos"/>
      <family val="2"/>
    </font>
    <font>
      <b/>
      <sz val="11"/>
      <color rgb="FFFF0000"/>
      <name val="Aptos"/>
      <family val="2"/>
    </font>
    <font>
      <sz val="11"/>
      <color theme="9" tint="-0.249977111117893"/>
      <name val="Aptos"/>
      <family val="2"/>
    </font>
    <font>
      <b/>
      <sz val="12"/>
      <color theme="2" tint="-0.499984740745262"/>
      <name val="Aptos"/>
      <family val="2"/>
    </font>
    <font>
      <sz val="11"/>
      <color theme="2" tint="-0.499984740745262"/>
      <name val="Aptos"/>
      <family val="2"/>
    </font>
    <font>
      <b/>
      <sz val="11"/>
      <color theme="2" tint="-0.499984740745262"/>
      <name val="Aptos"/>
      <family val="2"/>
    </font>
    <font>
      <sz val="10"/>
      <color theme="2" tint="-0.499984740745262"/>
      <name val="Aptos"/>
      <family val="2"/>
    </font>
    <font>
      <b/>
      <i/>
      <sz val="11"/>
      <name val="Aptos"/>
      <family val="2"/>
    </font>
    <font>
      <b/>
      <sz val="9"/>
      <color theme="2" tint="-0.499984740745262"/>
      <name val="Aptos"/>
      <family val="2"/>
    </font>
    <font>
      <sz val="9"/>
      <name val="Aptos"/>
      <family val="2"/>
    </font>
    <font>
      <sz val="9"/>
      <color theme="2" tint="-0.499984740745262"/>
      <name val="Aptos"/>
      <family val="2"/>
    </font>
    <font>
      <i/>
      <sz val="10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2" fillId="0" borderId="2" xfId="0" applyFont="1" applyBorder="1"/>
    <xf numFmtId="0" fontId="2" fillId="2" borderId="2" xfId="0" applyFont="1" applyFill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9" fillId="5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2" borderId="3" xfId="0" applyFont="1" applyFill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164" fontId="7" fillId="0" borderId="3" xfId="1" applyNumberFormat="1" applyFont="1" applyFill="1" applyBorder="1" applyAlignment="1">
      <alignment horizontal="right"/>
    </xf>
    <xf numFmtId="164" fontId="7" fillId="4" borderId="3" xfId="1" applyNumberFormat="1" applyFont="1" applyFill="1" applyBorder="1"/>
    <xf numFmtId="164" fontId="8" fillId="6" borderId="3" xfId="1" applyNumberFormat="1" applyFont="1" applyFill="1" applyBorder="1"/>
    <xf numFmtId="164" fontId="8" fillId="3" borderId="3" xfId="1" applyNumberFormat="1" applyFont="1" applyFill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7" fillId="0" borderId="4" xfId="0" applyFont="1" applyBorder="1"/>
    <xf numFmtId="0" fontId="7" fillId="2" borderId="2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7" fillId="0" borderId="0" xfId="1" applyNumberFormat="1" applyFont="1" applyFill="1" applyBorder="1" applyAlignment="1">
      <alignment horizontal="right" vertical="center"/>
    </xf>
    <xf numFmtId="164" fontId="7" fillId="4" borderId="0" xfId="1" applyNumberFormat="1" applyFont="1" applyFill="1" applyBorder="1" applyAlignment="1">
      <alignment horizontal="right" vertical="center"/>
    </xf>
    <xf numFmtId="164" fontId="8" fillId="6" borderId="0" xfId="1" applyNumberFormat="1" applyFont="1" applyFill="1" applyBorder="1" applyAlignment="1">
      <alignment horizontal="right" vertical="center"/>
    </xf>
    <xf numFmtId="164" fontId="8" fillId="3" borderId="0" xfId="1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4" fillId="2" borderId="2" xfId="0" applyFont="1" applyFill="1" applyBorder="1" applyAlignment="1">
      <alignment horizontal="right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14" fillId="0" borderId="2" xfId="0" applyFont="1" applyBorder="1" applyAlignment="1">
      <alignment horizontal="right"/>
    </xf>
    <xf numFmtId="0" fontId="14" fillId="2" borderId="3" xfId="0" applyFont="1" applyFill="1" applyBorder="1" applyAlignment="1">
      <alignment horizontal="right"/>
    </xf>
    <xf numFmtId="0" fontId="16" fillId="2" borderId="2" xfId="0" applyFont="1" applyFill="1" applyBorder="1" applyAlignment="1">
      <alignment horizontal="right"/>
    </xf>
    <xf numFmtId="0" fontId="16" fillId="2" borderId="2" xfId="0" applyFont="1" applyFill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6" fillId="2" borderId="3" xfId="0" applyFont="1" applyFill="1" applyBorder="1" applyAlignment="1">
      <alignment horizontal="right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0" fontId="7" fillId="0" borderId="8" xfId="0" applyFont="1" applyBorder="1" applyAlignment="1">
      <alignment horizontal="right" vertical="center" indent="2"/>
    </xf>
    <xf numFmtId="0" fontId="7" fillId="0" borderId="9" xfId="0" applyFont="1" applyBorder="1" applyAlignment="1">
      <alignment horizontal="right" vertical="center" indent="2"/>
    </xf>
    <xf numFmtId="0" fontId="2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8" fillId="0" borderId="2" xfId="0" applyFont="1" applyBorder="1"/>
    <xf numFmtId="0" fontId="19" fillId="2" borderId="2" xfId="0" applyFont="1" applyFill="1" applyBorder="1" applyAlignment="1">
      <alignment horizontal="right"/>
    </xf>
    <xf numFmtId="0" fontId="19" fillId="2" borderId="2" xfId="0" applyFont="1" applyFill="1" applyBorder="1" applyAlignment="1">
      <alignment horizontal="right" vertical="center" wrapText="1"/>
    </xf>
    <xf numFmtId="0" fontId="18" fillId="2" borderId="2" xfId="0" applyFont="1" applyFill="1" applyBorder="1" applyAlignment="1">
      <alignment horizontal="right" vertical="center" wrapText="1"/>
    </xf>
    <xf numFmtId="0" fontId="20" fillId="0" borderId="2" xfId="0" applyFont="1" applyBorder="1" applyAlignment="1">
      <alignment horizontal="right" vertical="center" wrapText="1"/>
    </xf>
    <xf numFmtId="0" fontId="18" fillId="2" borderId="2" xfId="0" applyFont="1" applyFill="1" applyBorder="1" applyAlignment="1">
      <alignment horizontal="right"/>
    </xf>
    <xf numFmtId="0" fontId="18" fillId="0" borderId="2" xfId="0" applyFont="1" applyBorder="1" applyAlignment="1">
      <alignment horizontal="right"/>
    </xf>
    <xf numFmtId="0" fontId="18" fillId="2" borderId="3" xfId="0" applyFont="1" applyFill="1" applyBorder="1" applyAlignment="1">
      <alignment horizontal="right"/>
    </xf>
    <xf numFmtId="0" fontId="20" fillId="2" borderId="3" xfId="0" applyFont="1" applyFill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18" fillId="0" borderId="4" xfId="0" applyFont="1" applyBorder="1" applyAlignment="1">
      <alignment horizontal="right"/>
    </xf>
    <xf numFmtId="164" fontId="19" fillId="0" borderId="3" xfId="1" applyNumberFormat="1" applyFont="1" applyFill="1" applyBorder="1" applyAlignment="1">
      <alignment horizontal="right"/>
    </xf>
    <xf numFmtId="164" fontId="19" fillId="0" borderId="0" xfId="1" applyNumberFormat="1" applyFont="1" applyFill="1" applyBorder="1" applyAlignment="1">
      <alignment horizontal="right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64" fontId="22" fillId="0" borderId="0" xfId="1" applyNumberFormat="1" applyFont="1" applyFill="1" applyBorder="1" applyAlignment="1">
      <alignment horizontal="right" vertical="center" wrapText="1"/>
    </xf>
    <xf numFmtId="166" fontId="23" fillId="0" borderId="0" xfId="3" applyNumberFormat="1" applyFont="1" applyFill="1" applyBorder="1" applyAlignment="1">
      <alignment horizontal="right" vertical="center"/>
    </xf>
    <xf numFmtId="166" fontId="23" fillId="0" borderId="0" xfId="3" applyNumberFormat="1" applyFont="1" applyFill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164" fontId="24" fillId="0" borderId="11" xfId="1" applyNumberFormat="1" applyFont="1" applyFill="1" applyBorder="1" applyAlignment="1">
      <alignment horizontal="right" vertical="center" wrapText="1"/>
    </xf>
    <xf numFmtId="166" fontId="23" fillId="0" borderId="11" xfId="3" applyNumberFormat="1" applyFont="1" applyFill="1" applyBorder="1" applyAlignment="1">
      <alignment horizontal="right" vertical="center"/>
    </xf>
    <xf numFmtId="166" fontId="23" fillId="0" borderId="11" xfId="3" applyNumberFormat="1" applyFont="1" applyFill="1" applyBorder="1" applyAlignment="1">
      <alignment horizontal="center" vertical="center"/>
    </xf>
    <xf numFmtId="164" fontId="10" fillId="0" borderId="0" xfId="1" applyNumberFormat="1" applyFont="1" applyFill="1" applyBorder="1" applyAlignment="1">
      <alignment horizontal="right" vertical="center"/>
    </xf>
    <xf numFmtId="0" fontId="10" fillId="0" borderId="0" xfId="0" applyFont="1" applyFill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 wrapText="1"/>
    </xf>
    <xf numFmtId="0" fontId="19" fillId="0" borderId="0" xfId="0" applyFont="1" applyBorder="1" applyAlignment="1">
      <alignment horizontal="right" vertical="center"/>
    </xf>
    <xf numFmtId="0" fontId="4" fillId="4" borderId="0" xfId="0" applyFont="1" applyFill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3" fillId="6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0" fontId="25" fillId="0" borderId="0" xfId="0" applyFont="1"/>
    <xf numFmtId="0" fontId="10" fillId="0" borderId="12" xfId="0" applyFont="1" applyBorder="1" applyAlignment="1">
      <alignment horizontal="right" vertical="center" wrapText="1" indent="2"/>
    </xf>
    <xf numFmtId="0" fontId="10" fillId="0" borderId="13" xfId="0" applyFont="1" applyBorder="1" applyAlignment="1">
      <alignment horizontal="right" vertical="center" wrapText="1" indent="2"/>
    </xf>
    <xf numFmtId="0" fontId="2" fillId="0" borderId="13" xfId="0" applyFont="1" applyBorder="1" applyAlignment="1">
      <alignment horizontal="right" vertical="center"/>
    </xf>
    <xf numFmtId="164" fontId="7" fillId="0" borderId="13" xfId="1" applyNumberFormat="1" applyFont="1" applyFill="1" applyBorder="1" applyAlignment="1">
      <alignment horizontal="right" vertical="center"/>
    </xf>
    <xf numFmtId="0" fontId="7" fillId="0" borderId="13" xfId="0" applyFont="1" applyFill="1" applyBorder="1" applyAlignment="1">
      <alignment horizontal="right" vertical="center"/>
    </xf>
    <xf numFmtId="164" fontId="7" fillId="0" borderId="14" xfId="1" applyNumberFormat="1" applyFont="1" applyFill="1" applyBorder="1" applyAlignment="1">
      <alignment horizontal="right" vertical="center"/>
    </xf>
    <xf numFmtId="0" fontId="10" fillId="0" borderId="15" xfId="0" applyFont="1" applyBorder="1" applyAlignment="1">
      <alignment horizontal="right" vertical="center" wrapText="1" indent="2"/>
    </xf>
    <xf numFmtId="0" fontId="10" fillId="0" borderId="11" xfId="0" applyFont="1" applyBorder="1" applyAlignment="1">
      <alignment horizontal="right" vertical="center" wrapText="1" indent="2"/>
    </xf>
    <xf numFmtId="0" fontId="5" fillId="0" borderId="11" xfId="0" applyFont="1" applyBorder="1" applyAlignment="1">
      <alignment horizontal="right" vertical="center"/>
    </xf>
    <xf numFmtId="9" fontId="21" fillId="0" borderId="11" xfId="2" applyFont="1" applyFill="1" applyBorder="1" applyAlignment="1">
      <alignment horizontal="right" vertical="center"/>
    </xf>
    <xf numFmtId="0" fontId="21" fillId="0" borderId="11" xfId="0" applyFont="1" applyFill="1" applyBorder="1" applyAlignment="1">
      <alignment horizontal="right" vertical="center"/>
    </xf>
    <xf numFmtId="9" fontId="21" fillId="0" borderId="16" xfId="2" applyFont="1" applyFill="1" applyBorder="1" applyAlignment="1">
      <alignment horizontal="right" vertical="center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F99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EEFC-5FF6-4D2B-AB55-32883984DD24}">
  <dimension ref="B2:V34"/>
  <sheetViews>
    <sheetView showGridLines="0" tabSelected="1" zoomScale="109" zoomScaleNormal="90" workbookViewId="0">
      <selection activeCell="D33" sqref="D33"/>
    </sheetView>
  </sheetViews>
  <sheetFormatPr defaultRowHeight="14.4" outlineLevelRow="1" x14ac:dyDescent="0.55000000000000004"/>
  <cols>
    <col min="1" max="1" width="3.68359375" style="1" customWidth="1"/>
    <col min="2" max="2" width="34" style="1" bestFit="1" customWidth="1"/>
    <col min="3" max="3" width="1.41796875" style="1" customWidth="1"/>
    <col min="4" max="4" width="21.68359375" style="1" customWidth="1"/>
    <col min="5" max="5" width="1.41796875" style="1" customWidth="1"/>
    <col min="6" max="6" width="21.68359375" style="1" customWidth="1"/>
    <col min="7" max="7" width="1.41796875" style="1" customWidth="1"/>
    <col min="8" max="8" width="21.68359375" style="1" customWidth="1"/>
    <col min="9" max="9" width="1.41796875" style="1" customWidth="1"/>
    <col min="10" max="10" width="21.68359375" style="1" customWidth="1"/>
    <col min="11" max="11" width="1.41796875" style="1" customWidth="1"/>
    <col min="12" max="12" width="22.5234375" style="1" customWidth="1"/>
    <col min="13" max="16384" width="8.83984375" style="1"/>
  </cols>
  <sheetData>
    <row r="2" spans="2:22" s="6" customFormat="1" ht="21.9" customHeight="1" x14ac:dyDescent="0.6">
      <c r="B2" s="39" t="s">
        <v>19</v>
      </c>
      <c r="C2" s="40"/>
      <c r="D2" s="40"/>
      <c r="E2" s="40"/>
      <c r="F2" s="40"/>
      <c r="G2" s="40"/>
      <c r="H2" s="40"/>
      <c r="I2" s="40"/>
      <c r="J2" s="40"/>
      <c r="K2" s="40"/>
      <c r="L2" s="41"/>
    </row>
    <row r="3" spans="2:22" s="6" customFormat="1" ht="5.0999999999999996" customHeight="1" x14ac:dyDescent="0.6">
      <c r="C3" s="7"/>
      <c r="E3" s="7"/>
      <c r="G3" s="7"/>
      <c r="H3" s="7"/>
      <c r="I3" s="7"/>
      <c r="J3" s="7"/>
      <c r="K3" s="7"/>
      <c r="L3" s="7"/>
    </row>
    <row r="4" spans="2:22" s="6" customFormat="1" ht="18.899999999999999" customHeight="1" x14ac:dyDescent="0.6">
      <c r="C4" s="7"/>
      <c r="E4" s="7"/>
      <c r="F4" s="47" t="s">
        <v>28</v>
      </c>
      <c r="G4" s="48"/>
      <c r="H4" s="48"/>
      <c r="I4" s="48"/>
      <c r="J4" s="48"/>
      <c r="K4" s="48"/>
      <c r="L4" s="49"/>
    </row>
    <row r="5" spans="2:22" s="6" customFormat="1" ht="37.200000000000003" customHeight="1" x14ac:dyDescent="0.6">
      <c r="B5" s="20"/>
      <c r="C5" s="12"/>
      <c r="D5" s="76" t="s">
        <v>27</v>
      </c>
      <c r="E5" s="12"/>
      <c r="F5" s="43" t="s">
        <v>8</v>
      </c>
      <c r="G5" s="12"/>
      <c r="H5" s="44" t="s">
        <v>29</v>
      </c>
      <c r="I5" s="12"/>
      <c r="J5" s="45" t="s">
        <v>30</v>
      </c>
      <c r="K5" s="12"/>
      <c r="L5" s="46" t="s">
        <v>18</v>
      </c>
    </row>
    <row r="6" spans="2:22" x14ac:dyDescent="0.55000000000000004">
      <c r="C6" s="2"/>
      <c r="D6" s="77"/>
      <c r="E6" s="2"/>
      <c r="F6" s="8"/>
      <c r="G6" s="2"/>
      <c r="H6" s="10"/>
      <c r="I6" s="2"/>
      <c r="J6" s="10"/>
      <c r="K6" s="2"/>
      <c r="L6" s="10"/>
      <c r="N6" s="1">
        <v>1</v>
      </c>
      <c r="O6" s="1">
        <f>N6+1</f>
        <v>2</v>
      </c>
      <c r="P6" s="1">
        <f t="shared" ref="P6:V6" si="0">O6+1</f>
        <v>3</v>
      </c>
      <c r="Q6" s="1">
        <f t="shared" si="0"/>
        <v>4</v>
      </c>
      <c r="R6" s="1">
        <f t="shared" si="0"/>
        <v>5</v>
      </c>
      <c r="S6" s="1">
        <f t="shared" si="0"/>
        <v>6</v>
      </c>
      <c r="T6" s="1">
        <f t="shared" si="0"/>
        <v>7</v>
      </c>
      <c r="U6" s="1">
        <f t="shared" si="0"/>
        <v>8</v>
      </c>
      <c r="V6" s="1">
        <f t="shared" si="0"/>
        <v>9</v>
      </c>
    </row>
    <row r="7" spans="2:22" x14ac:dyDescent="0.55000000000000004">
      <c r="B7" s="16" t="s">
        <v>0</v>
      </c>
      <c r="C7" s="29"/>
      <c r="D7" s="78" t="s">
        <v>9</v>
      </c>
      <c r="E7" s="29"/>
      <c r="F7" s="37" t="s">
        <v>9</v>
      </c>
      <c r="G7" s="22"/>
      <c r="H7" s="38" t="s">
        <v>5</v>
      </c>
      <c r="I7" s="22"/>
      <c r="J7" s="38" t="s">
        <v>11</v>
      </c>
      <c r="K7" s="22"/>
      <c r="L7" s="38" t="s">
        <v>12</v>
      </c>
      <c r="N7" s="1">
        <v>0</v>
      </c>
      <c r="O7" s="1">
        <f>N7+45</f>
        <v>45</v>
      </c>
      <c r="P7" s="1">
        <f t="shared" ref="P7:V7" si="1">O7+45</f>
        <v>90</v>
      </c>
      <c r="Q7" s="1">
        <f t="shared" si="1"/>
        <v>135</v>
      </c>
      <c r="R7" s="1">
        <f t="shared" si="1"/>
        <v>180</v>
      </c>
      <c r="S7" s="1">
        <f t="shared" si="1"/>
        <v>225</v>
      </c>
      <c r="T7" s="1">
        <f t="shared" si="1"/>
        <v>270</v>
      </c>
      <c r="U7" s="1">
        <f t="shared" si="1"/>
        <v>315</v>
      </c>
      <c r="V7" s="1">
        <f t="shared" si="1"/>
        <v>360</v>
      </c>
    </row>
    <row r="8" spans="2:22" s="16" customFormat="1" ht="15" customHeight="1" x14ac:dyDescent="0.55000000000000004">
      <c r="B8" s="42" t="s">
        <v>22</v>
      </c>
      <c r="C8" s="17"/>
      <c r="D8" s="79">
        <v>1</v>
      </c>
      <c r="E8" s="17"/>
      <c r="F8" s="18">
        <v>1</v>
      </c>
      <c r="G8" s="19"/>
      <c r="H8" s="18">
        <v>2</v>
      </c>
      <c r="I8" s="19"/>
      <c r="J8" s="18">
        <v>4</v>
      </c>
      <c r="K8" s="19"/>
      <c r="L8" s="18">
        <v>9</v>
      </c>
      <c r="M8" s="17"/>
      <c r="N8" s="17"/>
    </row>
    <row r="9" spans="2:22" s="16" customFormat="1" ht="15" customHeight="1" x14ac:dyDescent="0.55000000000000004">
      <c r="B9" s="42"/>
      <c r="C9" s="17"/>
      <c r="D9" s="79"/>
      <c r="E9" s="17"/>
      <c r="F9" s="18"/>
      <c r="G9" s="19"/>
      <c r="H9" s="18" t="s">
        <v>24</v>
      </c>
      <c r="I9" s="19"/>
      <c r="J9" s="18" t="s">
        <v>25</v>
      </c>
      <c r="K9" s="19"/>
      <c r="L9" s="18" t="s">
        <v>23</v>
      </c>
      <c r="M9" s="17"/>
      <c r="N9" s="17"/>
    </row>
    <row r="10" spans="2:22" s="16" customFormat="1" ht="31.2" hidden="1" customHeight="1" outlineLevel="1" x14ac:dyDescent="0.55000000000000004">
      <c r="B10" s="55" t="s">
        <v>36</v>
      </c>
      <c r="C10" s="56"/>
      <c r="D10" s="80" t="s">
        <v>35</v>
      </c>
      <c r="E10" s="58"/>
      <c r="F10" s="57" t="s">
        <v>35</v>
      </c>
      <c r="G10" s="59"/>
      <c r="H10" s="57" t="s">
        <v>34</v>
      </c>
      <c r="I10" s="59"/>
      <c r="J10" s="57" t="s">
        <v>34</v>
      </c>
      <c r="K10" s="59"/>
      <c r="L10" s="57" t="s">
        <v>34</v>
      </c>
      <c r="M10" s="17"/>
      <c r="N10" s="17"/>
    </row>
    <row r="11" spans="2:22" ht="26.7" customHeight="1" collapsed="1" x14ac:dyDescent="0.55000000000000004">
      <c r="B11" s="4" t="s">
        <v>13</v>
      </c>
      <c r="C11" s="3"/>
      <c r="D11" s="81" t="s">
        <v>32</v>
      </c>
      <c r="E11" s="3"/>
      <c r="F11" s="26" t="s">
        <v>31</v>
      </c>
      <c r="G11" s="14"/>
      <c r="H11" s="26" t="s">
        <v>31</v>
      </c>
      <c r="I11" s="15"/>
      <c r="J11" s="26" t="s">
        <v>31</v>
      </c>
      <c r="K11" s="15"/>
      <c r="L11" s="26" t="s">
        <v>32</v>
      </c>
      <c r="M11" s="3"/>
      <c r="N11" s="3"/>
    </row>
    <row r="12" spans="2:22" x14ac:dyDescent="0.55000000000000004">
      <c r="B12" s="1" t="s">
        <v>1</v>
      </c>
      <c r="C12" s="2"/>
      <c r="D12" s="82">
        <v>1</v>
      </c>
      <c r="E12" s="2"/>
      <c r="F12" s="9">
        <v>1</v>
      </c>
      <c r="G12" s="13"/>
      <c r="H12" s="11">
        <v>2</v>
      </c>
      <c r="I12" s="13"/>
      <c r="J12" s="11">
        <v>4</v>
      </c>
      <c r="K12" s="13"/>
      <c r="L12" s="11">
        <v>12</v>
      </c>
    </row>
    <row r="13" spans="2:22" x14ac:dyDescent="0.55000000000000004">
      <c r="B13" s="1" t="s">
        <v>6</v>
      </c>
      <c r="C13" s="2"/>
      <c r="D13" s="83">
        <v>1</v>
      </c>
      <c r="E13" s="2"/>
      <c r="F13" s="27">
        <v>1</v>
      </c>
      <c r="G13" s="13"/>
      <c r="H13" s="28">
        <v>2</v>
      </c>
      <c r="I13" s="13"/>
      <c r="J13" s="28">
        <v>4</v>
      </c>
      <c r="K13" s="13"/>
      <c r="L13" s="28">
        <v>9</v>
      </c>
    </row>
    <row r="14" spans="2:22" x14ac:dyDescent="0.55000000000000004">
      <c r="B14" s="1" t="s">
        <v>7</v>
      </c>
      <c r="C14" s="2"/>
      <c r="D14" s="82" t="s">
        <v>4</v>
      </c>
      <c r="E14" s="2"/>
      <c r="F14" s="62" t="s">
        <v>4</v>
      </c>
      <c r="G14" s="13"/>
      <c r="H14" s="63" t="s">
        <v>4</v>
      </c>
      <c r="I14" s="13"/>
      <c r="J14" s="63" t="s">
        <v>4</v>
      </c>
      <c r="K14" s="13"/>
      <c r="L14" s="63" t="s">
        <v>4</v>
      </c>
    </row>
    <row r="15" spans="2:22" hidden="1" outlineLevel="1" x14ac:dyDescent="0.55000000000000004">
      <c r="B15" s="1" t="s">
        <v>10</v>
      </c>
      <c r="C15" s="2"/>
      <c r="D15" s="83" t="s">
        <v>14</v>
      </c>
      <c r="E15" s="2"/>
      <c r="F15" s="60" t="s">
        <v>14</v>
      </c>
      <c r="G15" s="13"/>
      <c r="H15" s="60" t="s">
        <v>14</v>
      </c>
      <c r="I15" s="13"/>
      <c r="J15" s="64" t="s">
        <v>4</v>
      </c>
      <c r="K15" s="13"/>
      <c r="L15" s="64" t="s">
        <v>4</v>
      </c>
    </row>
    <row r="16" spans="2:22" collapsed="1" x14ac:dyDescent="0.55000000000000004">
      <c r="B16" s="1" t="s">
        <v>2</v>
      </c>
      <c r="C16" s="2"/>
      <c r="D16" s="84" t="s">
        <v>14</v>
      </c>
      <c r="E16" s="2"/>
      <c r="F16" s="61" t="s">
        <v>14</v>
      </c>
      <c r="G16" s="13"/>
      <c r="H16" s="61" t="s">
        <v>14</v>
      </c>
      <c r="I16" s="13"/>
      <c r="J16" s="61" t="s">
        <v>14</v>
      </c>
      <c r="K16" s="13"/>
      <c r="L16" s="65" t="s">
        <v>4</v>
      </c>
    </row>
    <row r="17" spans="2:12" s="4" customFormat="1" ht="84.3" hidden="1" customHeight="1" x14ac:dyDescent="0.55000000000000004">
      <c r="B17" s="4" t="s">
        <v>17</v>
      </c>
      <c r="C17" s="2"/>
      <c r="D17" s="85" t="s">
        <v>9</v>
      </c>
      <c r="E17" s="2"/>
      <c r="F17" s="23" t="s">
        <v>9</v>
      </c>
      <c r="G17" s="24"/>
      <c r="H17" s="25" t="s">
        <v>3</v>
      </c>
      <c r="I17" s="24"/>
      <c r="J17" s="25" t="s">
        <v>16</v>
      </c>
      <c r="K17" s="24"/>
      <c r="L17" s="25" t="s">
        <v>15</v>
      </c>
    </row>
    <row r="18" spans="2:12" s="50" customFormat="1" ht="17.100000000000001" customHeight="1" x14ac:dyDescent="0.55000000000000004">
      <c r="B18" s="104" t="s">
        <v>39</v>
      </c>
      <c r="C18" s="102"/>
      <c r="D18" s="105" t="s">
        <v>20</v>
      </c>
      <c r="E18" s="102"/>
      <c r="F18" s="103" t="s">
        <v>20</v>
      </c>
      <c r="G18" s="103"/>
      <c r="H18" s="106">
        <v>1</v>
      </c>
      <c r="I18" s="107"/>
      <c r="J18" s="108">
        <v>3</v>
      </c>
      <c r="K18" s="107"/>
      <c r="L18" s="109">
        <v>6</v>
      </c>
    </row>
    <row r="19" spans="2:12" s="16" customFormat="1" hidden="1" outlineLevel="1" x14ac:dyDescent="0.55000000000000004">
      <c r="B19" s="16" t="s">
        <v>21</v>
      </c>
      <c r="C19" s="29"/>
      <c r="D19" s="88">
        <v>0</v>
      </c>
      <c r="E19" s="29"/>
      <c r="F19" s="30">
        <v>0</v>
      </c>
      <c r="G19" s="29"/>
      <c r="H19" s="31">
        <f>H18*(250*4)</f>
        <v>1000</v>
      </c>
      <c r="I19" s="29"/>
      <c r="J19" s="32">
        <f>J18*(250*4)</f>
        <v>3000</v>
      </c>
      <c r="K19" s="29"/>
      <c r="L19" s="33">
        <f>L18*(250*4)</f>
        <v>6000</v>
      </c>
    </row>
    <row r="20" spans="2:12" ht="7.5" customHeight="1" collapsed="1" x14ac:dyDescent="0.55000000000000004">
      <c r="C20" s="2"/>
      <c r="D20" s="86"/>
      <c r="E20" s="2"/>
      <c r="F20" s="5"/>
      <c r="G20" s="2"/>
      <c r="H20" s="2"/>
      <c r="I20" s="2"/>
      <c r="J20" s="2"/>
      <c r="K20" s="2"/>
      <c r="L20" s="2"/>
    </row>
    <row r="21" spans="2:12" ht="18" customHeight="1" x14ac:dyDescent="0.55000000000000004">
      <c r="B21" s="36" t="s">
        <v>33</v>
      </c>
      <c r="C21" s="34"/>
      <c r="D21" s="87"/>
      <c r="E21" s="34"/>
      <c r="F21" s="35"/>
      <c r="G21" s="34"/>
      <c r="H21" s="34"/>
      <c r="I21" s="34"/>
      <c r="J21" s="34"/>
      <c r="K21" s="34"/>
      <c r="L21" s="34"/>
    </row>
    <row r="22" spans="2:12" s="90" customFormat="1" ht="11.7" x14ac:dyDescent="0.55000000000000004">
      <c r="B22" s="90" t="s">
        <v>38</v>
      </c>
      <c r="C22" s="91"/>
      <c r="D22" s="92">
        <v>980</v>
      </c>
      <c r="E22" s="91"/>
      <c r="F22" s="93">
        <v>2000</v>
      </c>
      <c r="G22" s="94"/>
      <c r="H22" s="93">
        <v>4000</v>
      </c>
      <c r="I22" s="94"/>
      <c r="J22" s="93">
        <v>8000</v>
      </c>
      <c r="K22" s="94"/>
      <c r="L22" s="93">
        <v>18000</v>
      </c>
    </row>
    <row r="23" spans="2:12" s="90" customFormat="1" ht="11.7" x14ac:dyDescent="0.55000000000000004">
      <c r="B23" s="95" t="s">
        <v>43</v>
      </c>
      <c r="C23" s="96"/>
      <c r="D23" s="97"/>
      <c r="E23" s="96"/>
      <c r="F23" s="98">
        <v>0</v>
      </c>
      <c r="G23" s="99"/>
      <c r="H23" s="98">
        <v>1000</v>
      </c>
      <c r="I23" s="99"/>
      <c r="J23" s="98">
        <v>3000</v>
      </c>
      <c r="K23" s="99"/>
      <c r="L23" s="98">
        <v>6000</v>
      </c>
    </row>
    <row r="24" spans="2:12" x14ac:dyDescent="0.55000000000000004">
      <c r="B24" s="50" t="s">
        <v>41</v>
      </c>
      <c r="C24" s="29"/>
      <c r="D24" s="89">
        <v>980</v>
      </c>
      <c r="E24" s="29"/>
      <c r="F24" s="100">
        <f>F8*2000+F19</f>
        <v>2000</v>
      </c>
      <c r="G24" s="101"/>
      <c r="H24" s="100">
        <f>H8*2000+H19</f>
        <v>5000</v>
      </c>
      <c r="I24" s="101"/>
      <c r="J24" s="100">
        <f>J8*2000+J19</f>
        <v>11000</v>
      </c>
      <c r="K24" s="101"/>
      <c r="L24" s="100">
        <f>L8*2000+L19</f>
        <v>24000</v>
      </c>
    </row>
    <row r="25" spans="2:12" s="50" customFormat="1" ht="29.1" customHeight="1" x14ac:dyDescent="0.55000000000000004">
      <c r="B25" s="50" t="s">
        <v>42</v>
      </c>
      <c r="C25" s="29"/>
      <c r="D25" s="89"/>
      <c r="E25" s="29"/>
      <c r="F25" s="51">
        <v>2000</v>
      </c>
      <c r="G25" s="22"/>
      <c r="H25" s="52">
        <v>4000</v>
      </c>
      <c r="I25" s="22"/>
      <c r="J25" s="53">
        <v>7500</v>
      </c>
      <c r="K25" s="22"/>
      <c r="L25" s="54">
        <v>10000</v>
      </c>
    </row>
    <row r="26" spans="2:12" ht="7.5" customHeight="1" x14ac:dyDescent="0.55000000000000004">
      <c r="C26" s="2"/>
      <c r="D26" s="5"/>
      <c r="E26" s="2"/>
      <c r="F26" s="5"/>
      <c r="G26" s="2"/>
      <c r="H26" s="2"/>
      <c r="I26" s="2"/>
      <c r="J26" s="2"/>
      <c r="K26" s="2"/>
      <c r="L26" s="2"/>
    </row>
    <row r="27" spans="2:12" ht="18" customHeight="1" x14ac:dyDescent="0.55000000000000004">
      <c r="B27" s="111" t="s">
        <v>37</v>
      </c>
      <c r="C27" s="112"/>
      <c r="D27" s="112"/>
      <c r="E27" s="112"/>
      <c r="F27" s="112"/>
      <c r="G27" s="113"/>
      <c r="H27" s="114">
        <f>H24-H25</f>
        <v>1000</v>
      </c>
      <c r="I27" s="115"/>
      <c r="J27" s="114">
        <f>J24-J25</f>
        <v>3500</v>
      </c>
      <c r="K27" s="115"/>
      <c r="L27" s="116">
        <f>L24-L25</f>
        <v>14000</v>
      </c>
    </row>
    <row r="28" spans="2:12" s="21" customFormat="1" ht="18" customHeight="1" x14ac:dyDescent="0.55000000000000004">
      <c r="B28" s="117"/>
      <c r="C28" s="118"/>
      <c r="D28" s="118"/>
      <c r="E28" s="118"/>
      <c r="F28" s="118"/>
      <c r="G28" s="119"/>
      <c r="H28" s="120">
        <f>-(H25/H24-1)</f>
        <v>0.19999999999999996</v>
      </c>
      <c r="I28" s="121"/>
      <c r="J28" s="120">
        <f>-(J25/J24-1)</f>
        <v>0.31818181818181823</v>
      </c>
      <c r="K28" s="121"/>
      <c r="L28" s="122">
        <f>-(L25/L24-1)</f>
        <v>0.58333333333333326</v>
      </c>
    </row>
    <row r="29" spans="2:12" ht="7.8" customHeight="1" x14ac:dyDescent="0.55000000000000004">
      <c r="B29" s="66"/>
      <c r="C29" s="67"/>
      <c r="D29" s="68"/>
      <c r="E29" s="67"/>
      <c r="F29" s="68"/>
      <c r="G29" s="67"/>
      <c r="H29" s="67"/>
      <c r="I29" s="67"/>
      <c r="J29" s="67"/>
      <c r="K29" s="67"/>
      <c r="L29" s="67"/>
    </row>
    <row r="30" spans="2:12" ht="51.9" hidden="1" customHeight="1" outlineLevel="1" x14ac:dyDescent="0.55000000000000004">
      <c r="B30" s="69" t="s">
        <v>26</v>
      </c>
      <c r="C30" s="70"/>
      <c r="D30" s="70"/>
      <c r="E30" s="70"/>
      <c r="F30" s="70"/>
      <c r="G30" s="71"/>
      <c r="H30" s="72"/>
      <c r="I30" s="73"/>
      <c r="J30" s="72"/>
      <c r="K30" s="74"/>
      <c r="L30" s="75"/>
    </row>
    <row r="31" spans="2:12" collapsed="1" x14ac:dyDescent="0.55000000000000004">
      <c r="B31" s="110" t="s">
        <v>40</v>
      </c>
      <c r="C31" s="2"/>
      <c r="E31" s="2"/>
      <c r="G31" s="2"/>
      <c r="H31" s="2"/>
      <c r="I31" s="2"/>
      <c r="J31" s="2"/>
      <c r="K31" s="2"/>
      <c r="L31" s="2"/>
    </row>
    <row r="32" spans="2:12" x14ac:dyDescent="0.55000000000000004">
      <c r="C32" s="2"/>
      <c r="E32" s="2"/>
      <c r="G32" s="2"/>
      <c r="H32" s="2"/>
      <c r="I32" s="2"/>
      <c r="J32" s="2"/>
      <c r="K32" s="2"/>
      <c r="L32" s="2"/>
    </row>
    <row r="33" spans="3:12" x14ac:dyDescent="0.55000000000000004">
      <c r="C33" s="2"/>
      <c r="E33" s="2"/>
      <c r="G33" s="2"/>
      <c r="H33" s="2"/>
      <c r="I33" s="2"/>
      <c r="J33" s="2"/>
      <c r="K33" s="2"/>
      <c r="L33" s="2"/>
    </row>
    <row r="34" spans="3:12" x14ac:dyDescent="0.55000000000000004">
      <c r="C34" s="2"/>
      <c r="E34" s="2"/>
      <c r="G34" s="2"/>
      <c r="H34" s="2"/>
      <c r="I34" s="2"/>
      <c r="J34" s="2"/>
      <c r="K34" s="2"/>
      <c r="L34" s="2"/>
    </row>
  </sheetData>
  <mergeCells count="5">
    <mergeCell ref="B2:L2"/>
    <mergeCell ref="B8:B9"/>
    <mergeCell ref="B27:F28"/>
    <mergeCell ref="B30:F30"/>
    <mergeCell ref="F4:L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Martins</dc:creator>
  <cp:lastModifiedBy>Gustavo Martins</cp:lastModifiedBy>
  <dcterms:created xsi:type="dcterms:W3CDTF">2025-08-20T19:25:33Z</dcterms:created>
  <dcterms:modified xsi:type="dcterms:W3CDTF">2025-08-21T13:12:08Z</dcterms:modified>
</cp:coreProperties>
</file>